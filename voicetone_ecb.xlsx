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C\Desktop\TFM\tfmecon-25_26-garro\XLSX files\"/>
    </mc:Choice>
  </mc:AlternateContent>
  <bookViews>
    <workbookView xWindow="0" yWindow="0" windowWidth="23016" windowHeight="7908" tabRatio="500" activeTab="1"/>
  </bookViews>
  <sheets>
    <sheet name="Answers" sheetId="1" r:id="rId1"/>
    <sheet name="Summary" sheetId="2" r:id="rId2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B7" i="2" l="1"/>
  <c r="B6" i="2"/>
  <c r="H14" i="1"/>
  <c r="H13" i="1"/>
  <c r="H12" i="1"/>
  <c r="H11" i="1"/>
  <c r="H10" i="1"/>
  <c r="H9" i="1"/>
  <c r="H8" i="1"/>
  <c r="H7" i="1"/>
  <c r="B5" i="2" s="1"/>
  <c r="H6" i="1"/>
  <c r="H5" i="1"/>
  <c r="H4" i="1"/>
  <c r="H3" i="1"/>
  <c r="H2" i="1"/>
  <c r="B4" i="2" s="1"/>
  <c r="B9" i="2" l="1"/>
</calcChain>
</file>

<file path=xl/sharedStrings.xml><?xml version="1.0" encoding="utf-8"?>
<sst xmlns="http://schemas.openxmlformats.org/spreadsheetml/2006/main" count="49" uniqueCount="40">
  <si>
    <t>item</t>
  </si>
  <si>
    <t>p_happy</t>
  </si>
  <si>
    <t>p_ps</t>
  </si>
  <si>
    <t>p_neutral</t>
  </si>
  <si>
    <t>p_sad</t>
  </si>
  <si>
    <t>p_angry</t>
  </si>
  <si>
    <t>pred_emotion</t>
  </si>
  <si>
    <t>polarity</t>
  </si>
  <si>
    <t>answer_01</t>
  </si>
  <si>
    <t>happy</t>
  </si>
  <si>
    <t>answer_02</t>
  </si>
  <si>
    <t>ps</t>
  </si>
  <si>
    <t>answer_03</t>
  </si>
  <si>
    <t>sad</t>
  </si>
  <si>
    <t>answer_04</t>
  </si>
  <si>
    <t>answer_05</t>
  </si>
  <si>
    <t>answer_06</t>
  </si>
  <si>
    <t>neutral</t>
  </si>
  <si>
    <t>answer_07</t>
  </si>
  <si>
    <t>answer_08</t>
  </si>
  <si>
    <t>answer_09</t>
  </si>
  <si>
    <t>answer_10</t>
  </si>
  <si>
    <t>answer_11</t>
  </si>
  <si>
    <t>answer_12</t>
  </si>
  <si>
    <t>answer_13</t>
  </si>
  <si>
    <t>VoiceTone — ECB press conference of 12 March 2020</t>
  </si>
  <si>
    <t>Aggregation of predicted emotions  (Gorodnichenko, Pham &amp; Talavera 2023, eq. 2)</t>
  </si>
  <si>
    <t>Positive answers (happy, ps)</t>
  </si>
  <si>
    <t>Negative answers (sad, angry)</t>
  </si>
  <si>
    <t>Neutral answers (excluded)</t>
  </si>
  <si>
    <t>Total answers</t>
  </si>
  <si>
    <t>VoiceTone = (Positive − Negative) / (Positive + Negative)</t>
  </si>
  <si>
    <t>Comparison with text sentiment — same conference</t>
  </si>
  <si>
    <t>qa_tone  (Q&amp;A only)</t>
  </si>
  <si>
    <t>all_tone (remarks + Q&amp;A)</t>
  </si>
  <si>
    <t>w_tone   (opening remarks)</t>
  </si>
  <si>
    <t>Text-tone values are the model output for 2020-03-12 taken from output_textmodel_ECB_v2_conference_final.xlsx (not recomputed here). Same functional form as VoiceTone: (dovish−hawkish)/(dovish+hawkish), neutrals excluded; range [-1,+1]. Note: qa_tone/all_tone/w_tone measure dovish–hawkish stance, VoiceTone measures emotional valence — same scale, different constructs.</t>
  </si>
  <si>
    <t>Conference date</t>
  </si>
  <si>
    <t>2020-03-12</t>
  </si>
  <si>
    <t>(stored as text)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</si>
</sst>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00"/>
  </numFmts>
  <fonts count="8" x14ac:knownFonts="1">
    <font>
      <sz val="11"/>
      <color theme="1"/>
      <name val="Calibri"/>
      <family val="2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i/>
      <sz val="9"/>
      <color rgb="FF808080"/>
      <name val="Arial"/>
      <charset val="1"/>
    </font>
    <font>
      <b/>
      <sz val="13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theme="0"/>
        <bgColor rgb="FF666699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1" fillId="0" borderId="1" xfId="0" applyNumberFormat="1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164" fontId="5" fillId="2" borderId="1" xfId="0" applyNumberFormat="1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7" fillId="4" borderId="2" xfId="0" applyFont="1" applyFill="1" applyBorder="1"/>
    <xf numFmtId="164" fontId="7" fillId="4" borderId="2" xfId="0" applyNumberFormat="1" applyFont="1" applyFill="1" applyBorder="1" applyAlignment="1">
      <alignment horizontal="center"/>
    </xf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4"/>
  <sheetViews>
    <sheetView zoomScaleNormal="100" workbookViewId="0">
      <selection sqref="A1:H14"/>
    </sheetView>
  </sheetViews>
  <sheetFormatPr baseColWidth="10" defaultColWidth="8.6640625" defaultRowHeight="14.4" x14ac:dyDescent="0.3"/>
  <cols>
    <col min="1" max="1" width="12" customWidth="1"/>
    <col min="2" max="2" width="10" customWidth="1"/>
    <col min="3" max="3" width="9" customWidth="1"/>
    <col min="4" max="4" width="11" customWidth="1"/>
    <col min="5" max="5" width="9" customWidth="1"/>
    <col min="6" max="6" width="10" customWidth="1"/>
    <col min="7" max="7" width="14" customWidth="1"/>
    <col min="8" max="8" width="12" customWidth="1"/>
  </cols>
  <sheetData>
    <row r="1" spans="1:8" x14ac:dyDescent="0.3">
      <c r="A1" s="9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</row>
    <row r="2" spans="1:8" x14ac:dyDescent="0.3">
      <c r="A2" s="10" t="s">
        <v>8</v>
      </c>
      <c r="B2" s="11">
        <v>0.30986999999999998</v>
      </c>
      <c r="C2" s="11">
        <v>0.22348100000000001</v>
      </c>
      <c r="D2" s="11">
        <v>0.18601999999999999</v>
      </c>
      <c r="E2" s="11">
        <v>0.15206700000000001</v>
      </c>
      <c r="F2" s="11">
        <v>0.12856200000000001</v>
      </c>
      <c r="G2" s="12" t="s">
        <v>9</v>
      </c>
      <c r="H2" s="12" t="str">
        <f t="shared" ref="H2:H14" si="0">IF(OR(G2="happy",G2="ps"),"positive",IF(OR(G2="sad",G2="angry"),"negative","neutral"))</f>
        <v>positive</v>
      </c>
    </row>
    <row r="3" spans="1:8" x14ac:dyDescent="0.3">
      <c r="A3" s="10" t="s">
        <v>10</v>
      </c>
      <c r="B3" s="11">
        <v>0.13981399999999999</v>
      </c>
      <c r="C3" s="11">
        <v>0.27252500000000002</v>
      </c>
      <c r="D3" s="11">
        <v>0.266262</v>
      </c>
      <c r="E3" s="11">
        <v>0.119188</v>
      </c>
      <c r="F3" s="11">
        <v>0.202211</v>
      </c>
      <c r="G3" s="12" t="s">
        <v>11</v>
      </c>
      <c r="H3" s="12" t="str">
        <f t="shared" si="0"/>
        <v>positive</v>
      </c>
    </row>
    <row r="4" spans="1:8" x14ac:dyDescent="0.3">
      <c r="A4" s="10" t="s">
        <v>12</v>
      </c>
      <c r="B4" s="11">
        <v>6.1485999999999999E-2</v>
      </c>
      <c r="C4" s="11">
        <v>0.125003</v>
      </c>
      <c r="D4" s="11">
        <v>9.7349000000000005E-2</v>
      </c>
      <c r="E4" s="11">
        <v>0.37303799999999998</v>
      </c>
      <c r="F4" s="11">
        <v>0.34312399999999998</v>
      </c>
      <c r="G4" s="12" t="s">
        <v>13</v>
      </c>
      <c r="H4" s="12" t="str">
        <f t="shared" si="0"/>
        <v>negative</v>
      </c>
    </row>
    <row r="5" spans="1:8" x14ac:dyDescent="0.3">
      <c r="A5" s="10" t="s">
        <v>14</v>
      </c>
      <c r="B5" s="11">
        <v>0.34702</v>
      </c>
      <c r="C5" s="11">
        <v>0.217197</v>
      </c>
      <c r="D5" s="11">
        <v>0.17655999999999999</v>
      </c>
      <c r="E5" s="11">
        <v>0.12998399999999999</v>
      </c>
      <c r="F5" s="11">
        <v>0.12923999999999999</v>
      </c>
      <c r="G5" s="12" t="s">
        <v>9</v>
      </c>
      <c r="H5" s="12" t="str">
        <f t="shared" si="0"/>
        <v>positive</v>
      </c>
    </row>
    <row r="6" spans="1:8" x14ac:dyDescent="0.3">
      <c r="A6" s="10" t="s">
        <v>15</v>
      </c>
      <c r="B6" s="11">
        <v>0.417599</v>
      </c>
      <c r="C6" s="11">
        <v>6.4058000000000004E-2</v>
      </c>
      <c r="D6" s="11">
        <v>0.116816</v>
      </c>
      <c r="E6" s="11">
        <v>0.21618000000000001</v>
      </c>
      <c r="F6" s="11">
        <v>0.18534600000000001</v>
      </c>
      <c r="G6" s="12" t="s">
        <v>9</v>
      </c>
      <c r="H6" s="12" t="str">
        <f t="shared" si="0"/>
        <v>positive</v>
      </c>
    </row>
    <row r="7" spans="1:8" x14ac:dyDescent="0.3">
      <c r="A7" s="10" t="s">
        <v>16</v>
      </c>
      <c r="B7" s="11">
        <v>0.105281</v>
      </c>
      <c r="C7" s="11">
        <v>0.26118999999999998</v>
      </c>
      <c r="D7" s="11">
        <v>0.26288899999999998</v>
      </c>
      <c r="E7" s="11">
        <v>0.210511</v>
      </c>
      <c r="F7" s="11">
        <v>0.16012899999999999</v>
      </c>
      <c r="G7" s="12" t="s">
        <v>17</v>
      </c>
      <c r="H7" s="12" t="str">
        <f t="shared" si="0"/>
        <v>neutral</v>
      </c>
    </row>
    <row r="8" spans="1:8" x14ac:dyDescent="0.3">
      <c r="A8" s="10" t="s">
        <v>18</v>
      </c>
      <c r="B8" s="11">
        <v>0.15754099999999999</v>
      </c>
      <c r="C8" s="11">
        <v>0.115214</v>
      </c>
      <c r="D8" s="11">
        <v>0.30762499999999998</v>
      </c>
      <c r="E8" s="11">
        <v>0.15434300000000001</v>
      </c>
      <c r="F8" s="11">
        <v>0.26527699999999999</v>
      </c>
      <c r="G8" s="12" t="s">
        <v>17</v>
      </c>
      <c r="H8" s="12" t="str">
        <f t="shared" si="0"/>
        <v>neutral</v>
      </c>
    </row>
    <row r="9" spans="1:8" x14ac:dyDescent="0.3">
      <c r="A9" s="10" t="s">
        <v>19</v>
      </c>
      <c r="B9" s="11">
        <v>0.495334</v>
      </c>
      <c r="C9" s="11">
        <v>0.14602000000000001</v>
      </c>
      <c r="D9" s="11">
        <v>0.21279000000000001</v>
      </c>
      <c r="E9" s="11">
        <v>6.5230999999999997E-2</v>
      </c>
      <c r="F9" s="11">
        <v>8.0625000000000002E-2</v>
      </c>
      <c r="G9" s="12" t="s">
        <v>9</v>
      </c>
      <c r="H9" s="12" t="str">
        <f t="shared" si="0"/>
        <v>positive</v>
      </c>
    </row>
    <row r="10" spans="1:8" x14ac:dyDescent="0.3">
      <c r="A10" s="10" t="s">
        <v>20</v>
      </c>
      <c r="B10" s="11">
        <v>0.42325000000000002</v>
      </c>
      <c r="C10" s="11">
        <v>0.108719</v>
      </c>
      <c r="D10" s="11">
        <v>0.13927100000000001</v>
      </c>
      <c r="E10" s="11">
        <v>0.19797699999999999</v>
      </c>
      <c r="F10" s="11">
        <v>0.13078200000000001</v>
      </c>
      <c r="G10" s="12" t="s">
        <v>9</v>
      </c>
      <c r="H10" s="12" t="str">
        <f t="shared" si="0"/>
        <v>positive</v>
      </c>
    </row>
    <row r="11" spans="1:8" x14ac:dyDescent="0.3">
      <c r="A11" s="10" t="s">
        <v>21</v>
      </c>
      <c r="B11" s="11">
        <v>0.386133</v>
      </c>
      <c r="C11" s="11">
        <v>0.15432199999999999</v>
      </c>
      <c r="D11" s="11">
        <v>7.4607999999999994E-2</v>
      </c>
      <c r="E11" s="11">
        <v>0.31290200000000001</v>
      </c>
      <c r="F11" s="11">
        <v>7.2035000000000002E-2</v>
      </c>
      <c r="G11" s="12" t="s">
        <v>9</v>
      </c>
      <c r="H11" s="12" t="str">
        <f t="shared" si="0"/>
        <v>positive</v>
      </c>
    </row>
    <row r="12" spans="1:8" x14ac:dyDescent="0.3">
      <c r="A12" s="10" t="s">
        <v>22</v>
      </c>
      <c r="B12" s="11">
        <v>0.46994599999999997</v>
      </c>
      <c r="C12" s="11">
        <v>0.15787799999999999</v>
      </c>
      <c r="D12" s="11">
        <v>0.12956300000000001</v>
      </c>
      <c r="E12" s="11">
        <v>0.122388</v>
      </c>
      <c r="F12" s="11">
        <v>0.120225</v>
      </c>
      <c r="G12" s="12" t="s">
        <v>9</v>
      </c>
      <c r="H12" s="12" t="str">
        <f t="shared" si="0"/>
        <v>positive</v>
      </c>
    </row>
    <row r="13" spans="1:8" x14ac:dyDescent="0.3">
      <c r="A13" s="10" t="s">
        <v>23</v>
      </c>
      <c r="B13" s="11">
        <v>0.16847300000000001</v>
      </c>
      <c r="C13" s="11">
        <v>0.19170000000000001</v>
      </c>
      <c r="D13" s="11">
        <v>0.29519600000000001</v>
      </c>
      <c r="E13" s="11">
        <v>0.11708300000000001</v>
      </c>
      <c r="F13" s="11">
        <v>0.227547</v>
      </c>
      <c r="G13" s="12" t="s">
        <v>17</v>
      </c>
      <c r="H13" s="12" t="str">
        <f t="shared" si="0"/>
        <v>neutral</v>
      </c>
    </row>
    <row r="14" spans="1:8" x14ac:dyDescent="0.3">
      <c r="A14" s="10" t="s">
        <v>24</v>
      </c>
      <c r="B14" s="11">
        <v>7.1429000000000006E-2</v>
      </c>
      <c r="C14" s="11">
        <v>0.35621599999999998</v>
      </c>
      <c r="D14" s="11">
        <v>0.286275</v>
      </c>
      <c r="E14" s="11">
        <v>0.14285900000000001</v>
      </c>
      <c r="F14" s="11">
        <v>0.14322199999999999</v>
      </c>
      <c r="G14" s="12" t="s">
        <v>11</v>
      </c>
      <c r="H14" s="12" t="str">
        <f t="shared" si="0"/>
        <v>positive</v>
      </c>
    </row>
  </sheetData>
  <pageMargins left="0.75" right="0.75" top="1" bottom="1" header="0.511811023622047" footer="0.511811023622047"/>
  <pageSetup paperSize="9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abSelected="1" zoomScaleNormal="100" workbookViewId="0"/>
  </sheetViews>
  <sheetFormatPr baseColWidth="10" defaultColWidth="8.6640625" defaultRowHeight="14.4" x14ac:dyDescent="0.3"/>
  <cols>
    <col min="1" max="1" width="54" customWidth="1"/>
    <col min="2" max="2" width="14" customWidth="1"/>
    <col min="3" max="3" width="16" customWidth="1"/>
  </cols>
  <sheetData>
    <row r="1" spans="1:2" ht="16.8" x14ac:dyDescent="0.3">
      <c r="A1" s="4" t="s">
        <v>25</v>
      </c>
    </row>
    <row r="3" spans="1:2" x14ac:dyDescent="0.3">
      <c r="A3" s="5" t="s">
        <v>26</v>
      </c>
    </row>
    <row r="4" spans="1:2" x14ac:dyDescent="0.3">
      <c r="A4" s="6" t="s">
        <v>27</v>
      </c>
      <c r="B4" s="2">
        <f>COUNTIF(Answers!$H$2:$H$14,"positive")</f>
        <v>9</v>
      </c>
    </row>
    <row r="5" spans="1:2" x14ac:dyDescent="0.3">
      <c r="A5" s="6" t="s">
        <v>28</v>
      </c>
      <c r="B5" s="2">
        <f>COUNTIF(Answers!$H$2:$H$14,"negative")</f>
        <v>1</v>
      </c>
    </row>
    <row r="6" spans="1:2" x14ac:dyDescent="0.3">
      <c r="A6" s="6" t="s">
        <v>29</v>
      </c>
      <c r="B6" s="2">
        <f>COUNTIF(Answers!$H$2:$H$14,"neutral")</f>
        <v>3</v>
      </c>
    </row>
    <row r="7" spans="1:2" x14ac:dyDescent="0.3">
      <c r="A7" s="6" t="s">
        <v>30</v>
      </c>
      <c r="B7" s="2">
        <f>COUNTA(Answers!$A$2:$A$14)</f>
        <v>13</v>
      </c>
    </row>
    <row r="9" spans="1:2" x14ac:dyDescent="0.3">
      <c r="A9" s="5" t="s">
        <v>31</v>
      </c>
      <c r="B9" s="7">
        <f>IF((B4+B5)=0,"n/a",(B4-B5)/(B4+B5))</f>
        <v>0.8</v>
      </c>
    </row>
    <row r="11" spans="1:2" x14ac:dyDescent="0.3">
      <c r="A11" s="5" t="s">
        <v>32</v>
      </c>
    </row>
    <row r="12" spans="1:2" x14ac:dyDescent="0.3">
      <c r="A12" s="6" t="s">
        <v>33</v>
      </c>
      <c r="B12" s="1">
        <v>0.6</v>
      </c>
    </row>
    <row r="13" spans="1:2" x14ac:dyDescent="0.3">
      <c r="A13" s="6" t="s">
        <v>34</v>
      </c>
      <c r="B13" s="1">
        <v>0.40740700000000002</v>
      </c>
    </row>
    <row r="14" spans="1:2" x14ac:dyDescent="0.3">
      <c r="A14" s="6" t="s">
        <v>35</v>
      </c>
      <c r="B14" s="1">
        <v>0.29411799999999999</v>
      </c>
    </row>
    <row r="16" spans="1:2" x14ac:dyDescent="0.3">
      <c r="A16" s="3" t="s">
        <v>36</v>
      </c>
    </row>
    <row r="18" spans="1:3" x14ac:dyDescent="0.3">
      <c r="A18" s="5" t="s">
        <v>37</v>
      </c>
      <c r="B18" s="8" t="s">
        <v>38</v>
      </c>
      <c r="C18" s="3" t="s">
        <v>39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Answers</vt:lpstr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PC</cp:lastModifiedBy>
  <cp:revision>0</cp:revision>
  <dcterms:created xsi:type="dcterms:W3CDTF">2026-08-30T18:46:30Z</dcterms:created>
  <dcterms:modified xsi:type="dcterms:W3CDTF">2026-08-30T18:49:30Z</dcterms:modified>
  <dc:language>en-US</dc:language>
</cp:coreProperties>
</file>